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tylerthiede/Documents/Spring 2026/202/Project 3/"/>
    </mc:Choice>
  </mc:AlternateContent>
  <xr:revisionPtr revIDLastSave="0" documentId="13_ncr:1_{57DA69EE-3A6B-5847-B455-506236913703}" xr6:coauthVersionLast="47" xr6:coauthVersionMax="47" xr10:uidLastSave="{00000000-0000-0000-0000-000000000000}"/>
  <bookViews>
    <workbookView xWindow="15540" yWindow="780" windowWidth="19720" windowHeight="215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1" l="1"/>
  <c r="H7" i="11"/>
  <c r="Q1" i="11" l="1"/>
  <c r="I5" i="11" l="1"/>
  <c r="H32" i="11"/>
  <c r="H26" i="11"/>
  <c r="H20" i="11"/>
  <c r="H14" i="11"/>
  <c r="H8" i="11"/>
  <c r="E33" i="11" l="1"/>
  <c r="E11" i="11"/>
  <c r="E12" i="11" s="1"/>
  <c r="H9" i="11"/>
  <c r="I6" i="11"/>
  <c r="H21" i="11" l="1"/>
  <c r="E35" i="11"/>
  <c r="H22" i="11"/>
  <c r="H13" i="11"/>
  <c r="H10" i="11"/>
  <c r="J5" i="11"/>
  <c r="K5" i="11" s="1"/>
  <c r="L5" i="11" s="1"/>
  <c r="M5" i="11" s="1"/>
  <c r="N5" i="11" s="1"/>
  <c r="O5" i="11" s="1"/>
  <c r="P5" i="11" s="1"/>
  <c r="I4" i="11"/>
  <c r="H33" i="11" l="1"/>
  <c r="H27" i="11"/>
  <c r="H28" i="11"/>
  <c r="H31" i="11"/>
  <c r="H30" i="11"/>
  <c r="H15" i="11"/>
  <c r="H29" i="11"/>
  <c r="H11" i="11"/>
  <c r="H12" i="11"/>
  <c r="P4" i="11"/>
  <c r="Q5" i="11"/>
  <c r="R5" i="11" s="1"/>
  <c r="S5" i="11" s="1"/>
  <c r="T5" i="11" s="1"/>
  <c r="U5" i="11" s="1"/>
  <c r="V5" i="11" s="1"/>
  <c r="W5" i="11" s="1"/>
  <c r="J6" i="11"/>
  <c r="H16" i="11" l="1"/>
  <c r="H25" i="11"/>
  <c r="H23" i="11"/>
  <c r="H17" i="11"/>
  <c r="W4" i="11"/>
  <c r="X5" i="11"/>
  <c r="Y5" i="11" s="1"/>
  <c r="Z5" i="11" s="1"/>
  <c r="AA5" i="11" s="1"/>
  <c r="AB5" i="11" s="1"/>
  <c r="AC5" i="11" s="1"/>
  <c r="AD5" i="11" s="1"/>
  <c r="K6" i="11"/>
  <c r="H18" i="11" l="1"/>
  <c r="H24" i="11"/>
  <c r="AE5" i="11"/>
  <c r="AF5" i="11" s="1"/>
  <c r="AG5" i="11" s="1"/>
  <c r="AH5" i="11" s="1"/>
  <c r="AI5" i="11" s="1"/>
  <c r="AJ5" i="11" s="1"/>
  <c r="AD4" i="11"/>
  <c r="L6" i="11"/>
  <c r="H19" i="11" l="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<sst xmlns="http://schemas.openxmlformats.org/spreadsheetml/2006/main" count="49" uniqueCount="48">
  <si>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</si>
  <si>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</si>
  <si>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</si>
  <si>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</si>
  <si>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</si>
  <si>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</si>
  <si>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</si>
  <si>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</si>
  <si>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</si>
  <si>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</si>
  <si>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</si>
  <si>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</si>
  <si>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</si>
  <si>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</si>
  <si>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</si>
  <si>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</si>
  <si>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</si>
  <si>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</si>
  <si>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</si>
  <si>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</si>
  <si>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</si>
  <si>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</si>
  <si>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</si>
  <si>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CIVE 202 Project 3</t>
  </si>
  <si>
    <t>Tyler Thiede</t>
  </si>
  <si>
    <t>Python Code</t>
  </si>
  <si>
    <t>Annotate</t>
  </si>
  <si>
    <t>Methods</t>
  </si>
  <si>
    <t>References</t>
  </si>
  <si>
    <t>Project Goals</t>
  </si>
  <si>
    <t>Project Tasks</t>
  </si>
  <si>
    <t>Project Deliverables</t>
  </si>
  <si>
    <t>SOW</t>
  </si>
  <si>
    <t>Timesheet</t>
  </si>
  <si>
    <t>ACD</t>
  </si>
  <si>
    <t>Findings Report</t>
  </si>
  <si>
    <t>Introduction</t>
  </si>
  <si>
    <t>Reults</t>
  </si>
  <si>
    <t>Discussion</t>
  </si>
  <si>
    <t>Modulize Code</t>
  </si>
  <si>
    <t>Continous Documentation</t>
  </si>
  <si>
    <t>Retreive NHTS and NGSIM</t>
  </si>
  <si>
    <t>Organize Data</t>
  </si>
  <si>
    <t>Bar chart</t>
  </si>
  <si>
    <t>Histogram</t>
  </si>
  <si>
    <t>Boxplot</t>
  </si>
  <si>
    <t>Dependent on another part</t>
  </si>
  <si>
    <t>The part it is dependent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</si>
</sst>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x14ac:knownFonts="1">
    <font>
      <sz val="11"/>
      <color theme="1"/>
      <name val="Arial"/>
      <family val="2"/>
      <scheme val="minor"/>
    </font>
    <font>
      <sz val="12"/>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79998168889431442"/>
        <bgColor indexed="65"/>
      </patternFill>
    </fill>
    <fill>
      <patternFill patternType="solid">
        <fgColor theme="9" tint="0.39997558519241921"/>
        <bgColor indexed="65"/>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5">
    <xf numFmtId="0" fontId="0" fillId="0" borderId="0"/>
    <xf numFmtId="0" fontId="3" fillId="0" borderId="0" applyNumberFormat="0" applyFill="0" applyBorder="0" applyAlignment="0" applyProtection="0">
      <alignment vertical="top"/>
      <protection locked="0"/>
    </xf>
    <xf numFmtId="9" fontId="5" fillId="0" borderId="0" applyFont="0" applyFill="0" applyBorder="0" applyAlignment="0" applyProtection="0"/>
    <xf numFmtId="0" fontId="12" fillId="0" borderId="0"/>
    <xf numFmtId="43" fontId="5" fillId="0" borderId="2"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5" fontId="5" fillId="0" borderId="2">
      <alignment horizontal="center" vertical="center"/>
    </xf>
    <xf numFmtId="164" fontId="5" fillId="0" borderId="1" applyFill="0">
      <alignment horizontal="center" vertical="center"/>
    </xf>
    <xf numFmtId="0" fontId="5" fillId="0" borderId="1" applyFill="0">
      <alignment horizontal="center" vertical="center"/>
    </xf>
    <xf numFmtId="0" fontId="5" fillId="0" borderId="1" applyFill="0">
      <alignment horizontal="left" vertical="center" indent="2"/>
    </xf>
    <xf numFmtId="0" fontId="1" fillId="13" borderId="0" applyNumberFormat="0" applyBorder="0" applyAlignment="0" applyProtection="0"/>
    <xf numFmtId="0" fontId="1" fillId="14" borderId="0" applyNumberFormat="0" applyBorder="0" applyAlignment="0" applyProtection="0"/>
  </cellStyleXfs>
  <cellXfs count="115">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2"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2" fillId="0" borderId="0" xfId="0" applyFont="1" applyAlignment="1">
      <alignment horizontal="left" vertical="top"/>
    </xf>
    <xf numFmtId="0" fontId="10" fillId="0" borderId="0" xfId="0" applyFont="1" applyAlignment="1">
      <alignment vertical="top"/>
    </xf>
    <xf numFmtId="0" fontId="12" fillId="0" borderId="0" xfId="3"/>
    <xf numFmtId="0" fontId="12" fillId="0" borderId="0" xfId="3" applyAlignment="1">
      <alignment wrapText="1"/>
    </xf>
    <xf numFmtId="0" fontId="4" fillId="0" borderId="0" xfId="0" applyFont="1" applyAlignment="1">
      <alignment horizontal="center" vertical="center"/>
    </xf>
    <xf numFmtId="0" fontId="14" fillId="0" borderId="0" xfId="0" applyFont="1"/>
    <xf numFmtId="0" fontId="13" fillId="0" borderId="0" xfId="0" applyFont="1"/>
    <xf numFmtId="0" fontId="13" fillId="0" borderId="0" xfId="0" applyFont="1" applyAlignment="1">
      <alignment horizontal="center"/>
    </xf>
    <xf numFmtId="0" fontId="13" fillId="0" borderId="0" xfId="0" applyFont="1" applyAlignment="1">
      <alignment horizontal="center" vertical="center"/>
    </xf>
    <xf numFmtId="0" fontId="15" fillId="0" borderId="0" xfId="0" applyFont="1"/>
    <xf numFmtId="0" fontId="15" fillId="0" borderId="0" xfId="0" applyFont="1" applyAlignment="1">
      <alignment horizontal="center"/>
    </xf>
    <xf numFmtId="0" fontId="16" fillId="0" borderId="0" xfId="0" applyFont="1"/>
    <xf numFmtId="0" fontId="17" fillId="0" borderId="0" xfId="0" applyFont="1" applyAlignment="1">
      <alignment horizontal="left" indent="1"/>
    </xf>
    <xf numFmtId="0" fontId="5" fillId="0" borderId="0" xfId="0" applyFont="1"/>
    <xf numFmtId="0" fontId="5" fillId="0" borderId="0" xfId="8">
      <alignment horizontal="right" indent="1"/>
    </xf>
    <xf numFmtId="0" fontId="5" fillId="0" borderId="0" xfId="0" applyFont="1" applyAlignment="1">
      <alignment horizontal="center"/>
    </xf>
    <xf numFmtId="0" fontId="2" fillId="0" borderId="0" xfId="1" applyFont="1" applyAlignment="1" applyProtection="1">
      <alignment horizontal="left" vertical="top" indent="1"/>
    </xf>
    <xf numFmtId="0" fontId="5" fillId="0" borderId="0" xfId="0" applyFont="1" applyAlignment="1">
      <alignment horizontal="left" indent="1"/>
    </xf>
    <xf numFmtId="167" fontId="20" fillId="12" borderId="20" xfId="0" applyNumberFormat="1" applyFont="1" applyFill="1" applyBorder="1" applyAlignment="1">
      <alignment horizontal="center" vertical="center"/>
    </xf>
    <xf numFmtId="167" fontId="20" fillId="12" borderId="18" xfId="0" applyNumberFormat="1" applyFont="1" applyFill="1" applyBorder="1" applyAlignment="1">
      <alignment horizontal="center" vertical="center"/>
    </xf>
    <xf numFmtId="167" fontId="20" fillId="12" borderId="19" xfId="0" applyNumberFormat="1" applyFont="1" applyFill="1" applyBorder="1" applyAlignment="1">
      <alignment horizontal="center" vertical="center"/>
    </xf>
    <xf numFmtId="0" fontId="21" fillId="2" borderId="17" xfId="0" applyFont="1" applyFill="1" applyBorder="1" applyAlignment="1">
      <alignment horizontal="center" vertical="center" shrinkToFit="1"/>
    </xf>
    <xf numFmtId="0" fontId="21" fillId="2" borderId="14" xfId="0" applyFont="1" applyFill="1" applyBorder="1" applyAlignment="1">
      <alignment horizontal="center" vertical="center" shrinkToFit="1"/>
    </xf>
    <xf numFmtId="0" fontId="21" fillId="2" borderId="15"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5"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2" fillId="6" borderId="0" xfId="2" applyFont="1" applyFill="1" applyBorder="1" applyAlignment="1">
      <alignment horizontal="center" vertical="center"/>
    </xf>
    <xf numFmtId="164" fontId="18" fillId="6" borderId="0" xfId="0" applyNumberFormat="1" applyFont="1" applyFill="1" applyAlignment="1">
      <alignment horizontal="center" vertical="center"/>
    </xf>
    <xf numFmtId="164" fontId="2" fillId="6" borderId="0" xfId="0" applyNumberFormat="1" applyFont="1" applyFill="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2" fillId="3" borderId="6" xfId="2" applyFont="1" applyFill="1" applyBorder="1" applyAlignment="1">
      <alignment horizontal="center" vertical="center"/>
    </xf>
    <xf numFmtId="164" fontId="18" fillId="3" borderId="6" xfId="10" applyFont="1" applyFill="1" applyBorder="1">
      <alignment horizontal="center" vertical="center"/>
    </xf>
    <xf numFmtId="0" fontId="5" fillId="0" borderId="4" xfId="0" applyFont="1" applyBorder="1" applyAlignment="1">
      <alignment vertical="center"/>
    </xf>
    <xf numFmtId="0" fontId="18" fillId="3" borderId="7" xfId="12" applyFont="1" applyFill="1" applyBorder="1">
      <alignment horizontal="left" vertical="center" indent="2"/>
    </xf>
    <xf numFmtId="0" fontId="18" fillId="3" borderId="7" xfId="11" applyFont="1" applyFill="1" applyBorder="1" applyAlignment="1">
      <alignment vertical="center"/>
    </xf>
    <xf numFmtId="9" fontId="2" fillId="3" borderId="7" xfId="2" applyFont="1" applyFill="1" applyBorder="1" applyAlignment="1">
      <alignment horizontal="center" vertical="center"/>
    </xf>
    <xf numFmtId="164" fontId="18" fillId="3" borderId="7" xfId="10" applyFont="1" applyFill="1" applyBorder="1">
      <alignment horizontal="center" vertical="center"/>
    </xf>
    <xf numFmtId="0" fontId="5" fillId="0" borderId="4" xfId="0" applyFont="1" applyBorder="1" applyAlignment="1">
      <alignment horizontal="righ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2" fillId="7" borderId="0" xfId="2" applyFont="1" applyFill="1" applyBorder="1" applyAlignment="1">
      <alignment horizontal="center" vertical="center"/>
    </xf>
    <xf numFmtId="164" fontId="18" fillId="7" borderId="0" xfId="0" applyNumberFormat="1" applyFont="1" applyFill="1" applyAlignment="1">
      <alignment horizontal="center" vertical="center"/>
    </xf>
    <xf numFmtId="164" fontId="2" fillId="7" borderId="0" xfId="0" applyNumberFormat="1" applyFont="1" applyFill="1" applyAlignment="1">
      <alignment horizontal="center" vertical="center"/>
    </xf>
    <xf numFmtId="0" fontId="18" fillId="4" borderId="5" xfId="12" applyFont="1" applyFill="1" applyBorder="1">
      <alignment horizontal="left" vertical="center" indent="2"/>
    </xf>
    <xf numFmtId="0" fontId="18" fillId="4" borderId="5" xfId="11" applyFont="1" applyFill="1" applyBorder="1" applyAlignment="1">
      <alignment vertical="center"/>
    </xf>
    <xf numFmtId="9" fontId="2" fillId="4" borderId="5" xfId="2" applyFont="1" applyFill="1" applyBorder="1" applyAlignment="1">
      <alignment horizontal="center" vertical="center"/>
    </xf>
    <xf numFmtId="164"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2" fillId="8" borderId="0" xfId="2" applyFont="1" applyFill="1" applyBorder="1" applyAlignment="1">
      <alignment horizontal="center" vertical="center"/>
    </xf>
    <xf numFmtId="164" fontId="18" fillId="8" borderId="0" xfId="0" applyNumberFormat="1" applyFont="1" applyFill="1" applyAlignment="1">
      <alignment horizontal="center" vertical="center"/>
    </xf>
    <xf numFmtId="164" fontId="2" fillId="8" borderId="0" xfId="0" applyNumberFormat="1" applyFont="1" applyFill="1" applyAlignment="1">
      <alignment horizontal="center" vertical="center"/>
    </xf>
    <xf numFmtId="0" fontId="5" fillId="0" borderId="11" xfId="0" applyFont="1" applyBorder="1" applyAlignment="1">
      <alignment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2" fillId="5" borderId="8" xfId="2" applyFont="1" applyFill="1" applyBorder="1" applyAlignment="1">
      <alignment horizontal="center" vertical="center"/>
    </xf>
    <xf numFmtId="164" fontId="18" fillId="5" borderId="8" xfId="10" applyFont="1" applyFill="1" applyBorder="1">
      <alignment horizontal="center" vertical="center"/>
    </xf>
    <xf numFmtId="0" fontId="22" fillId="9" borderId="0" xfId="0" applyFont="1" applyFill="1" applyAlignment="1">
      <alignment horizontal="left" vertical="center" indent="1"/>
    </xf>
    <xf numFmtId="0" fontId="18" fillId="9" borderId="0" xfId="11" applyFont="1" applyFill="1" applyBorder="1" applyAlignment="1">
      <alignment vertical="center"/>
    </xf>
    <xf numFmtId="9" fontId="2" fillId="9" borderId="0" xfId="2" applyFont="1" applyFill="1" applyBorder="1" applyAlignment="1">
      <alignment horizontal="center" vertical="center"/>
    </xf>
    <xf numFmtId="164" fontId="18" fillId="9" borderId="0" xfId="0" applyNumberFormat="1" applyFont="1" applyFill="1" applyAlignment="1">
      <alignment horizontal="center" vertical="center"/>
    </xf>
    <xf numFmtId="164" fontId="2" fillId="9" borderId="0" xfId="0" applyNumberFormat="1" applyFont="1" applyFill="1" applyAlignment="1">
      <alignment horizontal="center" vertical="center"/>
    </xf>
    <xf numFmtId="0" fontId="5" fillId="0" borderId="10" xfId="0" applyFont="1" applyBorder="1" applyAlignment="1">
      <alignment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2" fillId="10" borderId="9" xfId="2" applyFont="1" applyFill="1" applyBorder="1" applyAlignment="1">
      <alignment horizontal="center" vertical="center"/>
    </xf>
    <xf numFmtId="164" fontId="18" fillId="10" borderId="9" xfId="10" applyFont="1" applyFill="1" applyBorder="1">
      <alignment horizontal="center" vertical="center"/>
    </xf>
    <xf numFmtId="0" fontId="23" fillId="0" borderId="0" xfId="6" applyFont="1" applyAlignment="1">
      <alignment horizontal="left" vertical="center" indent="1"/>
    </xf>
    <xf numFmtId="0" fontId="23" fillId="0" borderId="0" xfId="7" applyFont="1" applyAlignment="1">
      <alignment horizontal="left" vertical="center" indent="1"/>
    </xf>
    <xf numFmtId="0" fontId="26" fillId="0" borderId="0" xfId="5" applyFont="1" applyAlignment="1">
      <alignment horizontal="left"/>
    </xf>
    <xf numFmtId="0" fontId="8" fillId="0" borderId="0" xfId="0" applyFont="1" applyAlignment="1">
      <alignment horizontal="left" vertical="center" indent="1"/>
    </xf>
    <xf numFmtId="0" fontId="4" fillId="0" borderId="0" xfId="0" applyFont="1" applyAlignment="1">
      <alignment horizontal="left" vertical="top" indent="1"/>
    </xf>
    <xf numFmtId="0" fontId="23"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2" fillId="0" borderId="0" xfId="0" applyFont="1" applyAlignment="1">
      <alignment horizontal="left" vertical="top" indent="1"/>
    </xf>
    <xf numFmtId="0" fontId="1" fillId="14" borderId="0" xfId="14" applyAlignment="1">
      <alignment horizontal="left" vertical="center" indent="1"/>
    </xf>
    <xf numFmtId="0" fontId="1" fillId="14" borderId="0" xfId="14" applyBorder="1" applyAlignment="1">
      <alignment vertical="center"/>
    </xf>
    <xf numFmtId="9" fontId="1" fillId="14" borderId="0" xfId="14" applyNumberFormat="1" applyBorder="1" applyAlignment="1">
      <alignment horizontal="center" vertical="center"/>
    </xf>
    <xf numFmtId="164" fontId="1" fillId="14" borderId="0" xfId="14" applyNumberFormat="1" applyAlignment="1">
      <alignment horizontal="center" vertical="center"/>
    </xf>
    <xf numFmtId="0" fontId="1" fillId="13" borderId="9" xfId="13" applyBorder="1" applyAlignment="1">
      <alignment horizontal="left" vertical="center" indent="2"/>
    </xf>
    <xf numFmtId="0" fontId="1" fillId="13" borderId="9" xfId="13" applyBorder="1" applyAlignment="1">
      <alignment vertical="center"/>
    </xf>
    <xf numFmtId="9" fontId="1" fillId="13" borderId="9" xfId="13" applyNumberFormat="1" applyBorder="1" applyAlignment="1">
      <alignment horizontal="center" vertical="center"/>
    </xf>
    <xf numFmtId="164" fontId="1" fillId="13" borderId="9" xfId="13" applyNumberFormat="1" applyBorder="1" applyAlignment="1">
      <alignment horizontal="center" vertical="center"/>
    </xf>
    <xf numFmtId="166" fontId="18" fillId="2" borderId="13" xfId="0" applyNumberFormat="1" applyFont="1" applyFill="1" applyBorder="1" applyAlignment="1">
      <alignment horizontal="center" vertical="center" wrapText="1"/>
    </xf>
    <xf numFmtId="166" fontId="18" fillId="2" borderId="19" xfId="0" applyNumberFormat="1" applyFont="1" applyFill="1" applyBorder="1" applyAlignment="1">
      <alignment horizontal="center" vertical="center" wrapText="1"/>
    </xf>
    <xf numFmtId="166" fontId="18" fillId="2" borderId="18" xfId="0" applyNumberFormat="1" applyFont="1" applyFill="1" applyBorder="1" applyAlignment="1">
      <alignment horizontal="center" vertical="center" wrapText="1"/>
    </xf>
    <xf numFmtId="0" fontId="19" fillId="11" borderId="16" xfId="0" applyFont="1" applyFill="1" applyBorder="1" applyAlignment="1">
      <alignment horizontal="center" vertical="center"/>
    </xf>
    <xf numFmtId="0" fontId="5" fillId="2" borderId="21" xfId="0" applyFont="1" applyFill="1" applyBorder="1"/>
    <xf numFmtId="0" fontId="24" fillId="0" borderId="0" xfId="0" applyFont="1" applyAlignment="1">
      <alignment horizontal="left"/>
    </xf>
    <xf numFmtId="0" fontId="25" fillId="0" borderId="0" xfId="0" applyFont="1"/>
    <xf numFmtId="165" fontId="24" fillId="0" borderId="0" xfId="9" applyFont="1" applyBorder="1" applyAlignment="1">
      <alignment horizontal="left"/>
    </xf>
    <xf numFmtId="0" fontId="23" fillId="0" borderId="0" xfId="8" applyFont="1" applyAlignment="1">
      <alignment horizontal="left"/>
    </xf>
    <xf numFmtId="0" fontId="5" fillId="0" borderId="0" xfId="0" applyFont="1"/>
    <xf numFmtId="0" fontId="12" fillId="0" borderId="0" xfId="3" applyAlignment="1">
      <alignment wrapText="1"/>
    </xf>
    <xf numFmtId="0" fontId="19" fillId="11" borderId="16" xfId="0" applyFont="1" applyFill="1" applyBorder="1" applyAlignment="1">
      <alignment horizontal="left" vertical="center" indent="1"/>
    </xf>
    <xf numFmtId="0" fontId="5" fillId="2" borderId="21" xfId="0" applyFont="1" applyFill="1" applyBorder="1" applyAlignment="1">
      <alignment horizontal="left" indent="1"/>
    </xf>
    <xf numFmtId="0" fontId="19" fillId="11" borderId="16" xfId="0" applyFont="1" applyFill="1" applyBorder="1" applyAlignment="1">
      <alignment vertical="center"/>
    </xf>
  </cellXfs>
  <cellStyles count="15">
    <cellStyle name="20% - Accent6" xfId="13" builtinId="50"/>
    <cellStyle name="60% - Accent6" xfId="14" builtinId="52"/>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1">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30</xdr:col>
      <xdr:colOff>35943</xdr:colOff>
      <xdr:row>0</xdr:row>
      <xdr:rowOff>910567</xdr:rowOff>
    </xdr:from>
    <xdr:to>
      <xdr:col>34</xdr:col>
      <xdr:colOff>183733</xdr:colOff>
      <xdr:row>2</xdr:row>
      <xdr:rowOff>312022</xdr:rowOff>
    </xdr:to>
    <xdr:pic>
      <xdr:nvPicPr>
        <xdr:cNvPr id="2" name="Graphic 1" descr="Badge 1 with solid fill">
          <a:extLst>
            <a:ext uri="{FF2B5EF4-FFF2-40B4-BE49-F238E27FC236}">
              <a16:creationId xmlns:a16="http://schemas.microsoft.com/office/drawing/2014/main" id="{CFB46BC8-9777-5C43-AB51-09B003BE0D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63679" y="910567"/>
          <a:ext cx="962507" cy="923059"/>
        </a:xfrm>
        <a:prstGeom prst="rect">
          <a:avLst/>
        </a:prstGeom>
      </xdr:spPr>
    </xdr:pic>
    <xdr:clientData/>
  </xdr:twoCellAnchor>
  <xdr:twoCellAnchor editAs="oneCell">
    <xdr:from>
      <xdr:col>49</xdr:col>
      <xdr:colOff>47924</xdr:colOff>
      <xdr:row>0</xdr:row>
      <xdr:rowOff>946510</xdr:rowOff>
    </xdr:from>
    <xdr:to>
      <xdr:col>53</xdr:col>
      <xdr:colOff>195714</xdr:colOff>
      <xdr:row>2</xdr:row>
      <xdr:rowOff>347965</xdr:rowOff>
    </xdr:to>
    <xdr:pic>
      <xdr:nvPicPr>
        <xdr:cNvPr id="3" name="Graphic 2" descr="Badge 1 outline">
          <a:extLst>
            <a:ext uri="{FF2B5EF4-FFF2-40B4-BE49-F238E27FC236}">
              <a16:creationId xmlns:a16="http://schemas.microsoft.com/office/drawing/2014/main" id="{DBCE4720-8A69-024D-958D-8313638964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245566" y="946510"/>
          <a:ext cx="962506" cy="923059"/>
        </a:xfrm>
        <a:prstGeom prst="rect">
          <a:avLst/>
        </a:prstGeom>
      </xdr:spPr>
    </xdr:pic>
    <xdr:clientData/>
  </xdr:twoCellAnchor>
  <xdr:twoCellAnchor editAs="oneCell">
    <xdr:from>
      <xdr:col>1</xdr:col>
      <xdr:colOff>1174152</xdr:colOff>
      <xdr:row>5</xdr:row>
      <xdr:rowOff>167736</xdr:rowOff>
    </xdr:from>
    <xdr:to>
      <xdr:col>1</xdr:col>
      <xdr:colOff>1629435</xdr:colOff>
      <xdr:row>8</xdr:row>
      <xdr:rowOff>47924</xdr:rowOff>
    </xdr:to>
    <xdr:pic>
      <xdr:nvPicPr>
        <xdr:cNvPr id="5" name="Graphic 4" descr="Badge 1 outline">
          <a:extLst>
            <a:ext uri="{FF2B5EF4-FFF2-40B4-BE49-F238E27FC236}">
              <a16:creationId xmlns:a16="http://schemas.microsoft.com/office/drawing/2014/main" id="{64728738-8FB7-F269-7F98-A8359A2EF1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77831" y="2647830"/>
          <a:ext cx="455283" cy="455283"/>
        </a:xfrm>
        <a:prstGeom prst="rect">
          <a:avLst/>
        </a:prstGeom>
      </xdr:spPr>
    </xdr:pic>
    <xdr:clientData/>
  </xdr:twoCellAnchor>
  <xdr:twoCellAnchor editAs="oneCell">
    <xdr:from>
      <xdr:col>1</xdr:col>
      <xdr:colOff>563113</xdr:colOff>
      <xdr:row>24</xdr:row>
      <xdr:rowOff>347452</xdr:rowOff>
    </xdr:from>
    <xdr:to>
      <xdr:col>1</xdr:col>
      <xdr:colOff>1030378</xdr:colOff>
      <xdr:row>26</xdr:row>
      <xdr:rowOff>47924</xdr:rowOff>
    </xdr:to>
    <xdr:pic>
      <xdr:nvPicPr>
        <xdr:cNvPr id="7" name="Graphic 6" descr="Badge 1 with solid fill">
          <a:extLst>
            <a:ext uri="{FF2B5EF4-FFF2-40B4-BE49-F238E27FC236}">
              <a16:creationId xmlns:a16="http://schemas.microsoft.com/office/drawing/2014/main" id="{E5639BBB-2106-386C-0C34-834731F7D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792" y="9536980"/>
          <a:ext cx="467265" cy="467265"/>
        </a:xfrm>
        <a:prstGeom prst="rect">
          <a:avLst/>
        </a:prstGeom>
      </xdr:spPr>
    </xdr:pic>
    <xdr:clientData/>
  </xdr:twoCellAnchor>
  <xdr:twoCellAnchor editAs="oneCell">
    <xdr:from>
      <xdr:col>1</xdr:col>
      <xdr:colOff>1605473</xdr:colOff>
      <xdr:row>5</xdr:row>
      <xdr:rowOff>131793</xdr:rowOff>
    </xdr:from>
    <xdr:to>
      <xdr:col>2</xdr:col>
      <xdr:colOff>383398</xdr:colOff>
      <xdr:row>8</xdr:row>
      <xdr:rowOff>59906</xdr:rowOff>
    </xdr:to>
    <xdr:pic>
      <xdr:nvPicPr>
        <xdr:cNvPr id="9" name="Graphic 8" descr="Badge outline">
          <a:extLst>
            <a:ext uri="{FF2B5EF4-FFF2-40B4-BE49-F238E27FC236}">
              <a16:creationId xmlns:a16="http://schemas.microsoft.com/office/drawing/2014/main" id="{866B9394-1F29-905C-74C8-C3C0DD67A3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09152" y="2611887"/>
          <a:ext cx="503208" cy="503208"/>
        </a:xfrm>
        <a:prstGeom prst="rect">
          <a:avLst/>
        </a:prstGeom>
      </xdr:spPr>
    </xdr:pic>
    <xdr:clientData/>
  </xdr:twoCellAnchor>
  <xdr:twoCellAnchor editAs="oneCell">
    <xdr:from>
      <xdr:col>1</xdr:col>
      <xdr:colOff>1066321</xdr:colOff>
      <xdr:row>33</xdr:row>
      <xdr:rowOff>71886</xdr:rowOff>
    </xdr:from>
    <xdr:to>
      <xdr:col>2</xdr:col>
      <xdr:colOff>419339</xdr:colOff>
      <xdr:row>35</xdr:row>
      <xdr:rowOff>383394</xdr:rowOff>
    </xdr:to>
    <xdr:pic>
      <xdr:nvPicPr>
        <xdr:cNvPr id="11" name="Graphic 10" descr="Badge with solid fill">
          <a:extLst>
            <a:ext uri="{FF2B5EF4-FFF2-40B4-BE49-F238E27FC236}">
              <a16:creationId xmlns:a16="http://schemas.microsoft.com/office/drawing/2014/main" id="{F21FE288-BF72-AF08-D128-13846B226F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70000" y="12711980"/>
          <a:ext cx="1078301" cy="10783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106" zoomScaleNormal="100" zoomScalePageLayoutView="70" workbookViewId="0">
      <selection activeCell="I12" sqref="I12"/>
    </sheetView>
  </sheetViews>
  <sheetFormatPr baseColWidth="10" defaultColWidth="8.6640625" defaultRowHeight="30" customHeight="1" x14ac:dyDescent="0.15"/>
  <cols>
    <col min="1" max="1" width="2.6640625" style="12"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13"/>
      <c r="B1" s="85" t="s">
        <v>23</v>
      </c>
      <c r="C1" s="15"/>
      <c r="D1" s="16"/>
      <c r="E1" s="17"/>
      <c r="F1" s="18"/>
      <c r="H1" s="1"/>
      <c r="I1" s="109" t="s">
        <v>20</v>
      </c>
      <c r="J1" s="110"/>
      <c r="K1" s="110"/>
      <c r="L1" s="110"/>
      <c r="M1" s="110"/>
      <c r="N1" s="110"/>
      <c r="O1" s="110"/>
      <c r="P1" s="21"/>
      <c r="Q1" s="108">
        <f ca="1">TODAY()</f>
        <v>46079</v>
      </c>
      <c r="R1" s="107"/>
      <c r="S1" s="107"/>
      <c r="T1" s="107"/>
      <c r="U1" s="107"/>
      <c r="V1" s="107"/>
      <c r="W1" s="107"/>
      <c r="X1" s="107"/>
      <c r="Y1" s="107"/>
      <c r="Z1" s="107"/>
    </row>
    <row r="2" spans="1:64" ht="30" customHeight="1" x14ac:dyDescent="0.4">
      <c r="B2" s="83" t="s">
        <v>24</v>
      </c>
      <c r="C2" s="84"/>
      <c r="D2" s="19"/>
      <c r="E2" s="20"/>
      <c r="F2" s="19"/>
      <c r="I2" s="109" t="s">
        <v>21</v>
      </c>
      <c r="J2" s="110"/>
      <c r="K2" s="110"/>
      <c r="L2" s="110"/>
      <c r="M2" s="110"/>
      <c r="N2" s="110"/>
      <c r="O2" s="110"/>
      <c r="P2" s="21"/>
      <c r="Q2" s="106">
        <v>1</v>
      </c>
      <c r="R2" s="107"/>
      <c r="S2" s="107"/>
      <c r="T2" s="107"/>
      <c r="U2" s="107"/>
      <c r="V2" s="107"/>
      <c r="W2" s="107"/>
      <c r="X2" s="107"/>
      <c r="Y2" s="107"/>
      <c r="Z2" s="107"/>
      <c r="AJ2" t="s">
        <v>46</v>
      </c>
      <c r="BC2" t="s">
        <v>47</v>
      </c>
    </row>
    <row r="3" spans="1:64" s="23" customFormat="1" ht="30" customHeight="1" x14ac:dyDescent="0.15">
      <c r="A3" s="12"/>
      <c r="B3" s="22" t="s">
        <v>7</v>
      </c>
      <c r="D3" s="24"/>
      <c r="E3" s="25"/>
    </row>
    <row r="4" spans="1:64" s="23" customFormat="1" ht="30" customHeight="1" x14ac:dyDescent="0.15">
      <c r="A4" s="13"/>
      <c r="B4" s="26" t="s">
        <v>12</v>
      </c>
      <c r="E4" s="27"/>
      <c r="I4" s="103">
        <f ca="1">I5</f>
        <v>46076</v>
      </c>
      <c r="J4" s="101"/>
      <c r="K4" s="101"/>
      <c r="L4" s="101"/>
      <c r="M4" s="101"/>
      <c r="N4" s="101"/>
      <c r="O4" s="101"/>
      <c r="P4" s="101">
        <f ca="1">P5</f>
        <v>46083</v>
      </c>
      <c r="Q4" s="101"/>
      <c r="R4" s="101"/>
      <c r="S4" s="101"/>
      <c r="T4" s="101"/>
      <c r="U4" s="101"/>
      <c r="V4" s="101"/>
      <c r="W4" s="101">
        <f ca="1">W5</f>
        <v>46090</v>
      </c>
      <c r="X4" s="101"/>
      <c r="Y4" s="101"/>
      <c r="Z4" s="101"/>
      <c r="AA4" s="101"/>
      <c r="AB4" s="101"/>
      <c r="AC4" s="101"/>
      <c r="AD4" s="101">
        <f ca="1">AD5</f>
        <v>46097</v>
      </c>
      <c r="AE4" s="101"/>
      <c r="AF4" s="101"/>
      <c r="AG4" s="101"/>
      <c r="AH4" s="101"/>
      <c r="AI4" s="101"/>
      <c r="AJ4" s="101"/>
      <c r="AK4" s="101">
        <f ca="1">AK5</f>
        <v>46104</v>
      </c>
      <c r="AL4" s="101"/>
      <c r="AM4" s="101"/>
      <c r="AN4" s="101"/>
      <c r="AO4" s="101"/>
      <c r="AP4" s="101"/>
      <c r="AQ4" s="101"/>
      <c r="AR4" s="101">
        <f ca="1">AR5</f>
        <v>46111</v>
      </c>
      <c r="AS4" s="101"/>
      <c r="AT4" s="101"/>
      <c r="AU4" s="101"/>
      <c r="AV4" s="101"/>
      <c r="AW4" s="101"/>
      <c r="AX4" s="101"/>
      <c r="AY4" s="101">
        <f ca="1">AY5</f>
        <v>46118</v>
      </c>
      <c r="AZ4" s="101"/>
      <c r="BA4" s="101"/>
      <c r="BB4" s="101"/>
      <c r="BC4" s="101"/>
      <c r="BD4" s="101"/>
      <c r="BE4" s="101"/>
      <c r="BF4" s="101">
        <f ca="1">BF5</f>
        <v>46125</v>
      </c>
      <c r="BG4" s="101"/>
      <c r="BH4" s="101"/>
      <c r="BI4" s="101"/>
      <c r="BJ4" s="101"/>
      <c r="BK4" s="101"/>
      <c r="BL4" s="102"/>
    </row>
    <row r="5" spans="1:64" s="23" customFormat="1" ht="15" customHeight="1" x14ac:dyDescent="0.15">
      <c r="A5" s="111"/>
      <c r="B5" s="112" t="s">
        <v>4</v>
      </c>
      <c r="C5" s="114" t="s">
        <v>22</v>
      </c>
      <c r="D5" s="104" t="s">
        <v>0</v>
      </c>
      <c r="E5" s="104" t="s">
        <v>2</v>
      </c>
      <c r="F5" s="104" t="s">
        <v>3</v>
      </c>
      <c r="I5" s="28">
        <f ca="1">Project_Start-WEEKDAY(Project_Start,1)+2+7*(Display_Week-1)</f>
        <v>46076</v>
      </c>
      <c r="J5" s="28">
        <f ca="1">I5+1</f>
        <v>46077</v>
      </c>
      <c r="K5" s="28">
        <f t="shared" ref="K5:AX5" ca="1" si="0">J5+1</f>
        <v>46078</v>
      </c>
      <c r="L5" s="28">
        <f t="shared" ca="1" si="0"/>
        <v>46079</v>
      </c>
      <c r="M5" s="28">
        <f t="shared" ca="1" si="0"/>
        <v>46080</v>
      </c>
      <c r="N5" s="28">
        <f t="shared" ca="1" si="0"/>
        <v>46081</v>
      </c>
      <c r="O5" s="29">
        <f t="shared" ca="1" si="0"/>
        <v>46082</v>
      </c>
      <c r="P5" s="30">
        <f ca="1">O5+1</f>
        <v>46083</v>
      </c>
      <c r="Q5" s="28">
        <f ca="1">P5+1</f>
        <v>46084</v>
      </c>
      <c r="R5" s="28">
        <f t="shared" ca="1" si="0"/>
        <v>46085</v>
      </c>
      <c r="S5" s="28">
        <f t="shared" ca="1" si="0"/>
        <v>46086</v>
      </c>
      <c r="T5" s="28">
        <f t="shared" ca="1" si="0"/>
        <v>46087</v>
      </c>
      <c r="U5" s="28">
        <f t="shared" ca="1" si="0"/>
        <v>46088</v>
      </c>
      <c r="V5" s="29">
        <f t="shared" ca="1" si="0"/>
        <v>46089</v>
      </c>
      <c r="W5" s="30">
        <f ca="1">V5+1</f>
        <v>46090</v>
      </c>
      <c r="X5" s="28">
        <f ca="1">W5+1</f>
        <v>46091</v>
      </c>
      <c r="Y5" s="28">
        <f t="shared" ca="1" si="0"/>
        <v>46092</v>
      </c>
      <c r="Z5" s="28">
        <f t="shared" ca="1" si="0"/>
        <v>46093</v>
      </c>
      <c r="AA5" s="28">
        <f t="shared" ca="1" si="0"/>
        <v>46094</v>
      </c>
      <c r="AB5" s="28">
        <f t="shared" ca="1" si="0"/>
        <v>46095</v>
      </c>
      <c r="AC5" s="29">
        <f t="shared" ca="1" si="0"/>
        <v>46096</v>
      </c>
      <c r="AD5" s="30">
        <f ca="1">AC5+1</f>
        <v>46097</v>
      </c>
      <c r="AE5" s="28">
        <f ca="1">AD5+1</f>
        <v>46098</v>
      </c>
      <c r="AF5" s="28">
        <f t="shared" ca="1" si="0"/>
        <v>46099</v>
      </c>
      <c r="AG5" s="28">
        <f t="shared" ca="1" si="0"/>
        <v>46100</v>
      </c>
      <c r="AH5" s="28">
        <f t="shared" ca="1" si="0"/>
        <v>46101</v>
      </c>
      <c r="AI5" s="28">
        <f t="shared" ca="1" si="0"/>
        <v>46102</v>
      </c>
      <c r="AJ5" s="29">
        <f t="shared" ca="1" si="0"/>
        <v>46103</v>
      </c>
      <c r="AK5" s="30">
        <f ca="1">AJ5+1</f>
        <v>46104</v>
      </c>
      <c r="AL5" s="28">
        <f ca="1">AK5+1</f>
        <v>46105</v>
      </c>
      <c r="AM5" s="28">
        <f t="shared" ca="1" si="0"/>
        <v>46106</v>
      </c>
      <c r="AN5" s="28">
        <f t="shared" ca="1" si="0"/>
        <v>46107</v>
      </c>
      <c r="AO5" s="28">
        <f t="shared" ca="1" si="0"/>
        <v>46108</v>
      </c>
      <c r="AP5" s="28">
        <f t="shared" ca="1" si="0"/>
        <v>46109</v>
      </c>
      <c r="AQ5" s="29">
        <f t="shared" ca="1" si="0"/>
        <v>46110</v>
      </c>
      <c r="AR5" s="30">
        <f ca="1">AQ5+1</f>
        <v>46111</v>
      </c>
      <c r="AS5" s="28">
        <f ca="1">AR5+1</f>
        <v>46112</v>
      </c>
      <c r="AT5" s="28">
        <f t="shared" ca="1" si="0"/>
        <v>46113</v>
      </c>
      <c r="AU5" s="28">
        <f t="shared" ca="1" si="0"/>
        <v>46114</v>
      </c>
      <c r="AV5" s="28">
        <f t="shared" ca="1" si="0"/>
        <v>46115</v>
      </c>
      <c r="AW5" s="28">
        <f t="shared" ca="1" si="0"/>
        <v>46116</v>
      </c>
      <c r="AX5" s="29">
        <f t="shared" ca="1" si="0"/>
        <v>46117</v>
      </c>
      <c r="AY5" s="30">
        <f ca="1">AX5+1</f>
        <v>46118</v>
      </c>
      <c r="AZ5" s="28">
        <f ca="1">AY5+1</f>
        <v>46119</v>
      </c>
      <c r="BA5" s="28">
        <f t="shared" ref="BA5:BE5" ca="1" si="1">AZ5+1</f>
        <v>46120</v>
      </c>
      <c r="BB5" s="28">
        <f t="shared" ca="1" si="1"/>
        <v>46121</v>
      </c>
      <c r="BC5" s="28">
        <f t="shared" ca="1" si="1"/>
        <v>46122</v>
      </c>
      <c r="BD5" s="28">
        <f t="shared" ca="1" si="1"/>
        <v>46123</v>
      </c>
      <c r="BE5" s="29">
        <f t="shared" ca="1" si="1"/>
        <v>46124</v>
      </c>
      <c r="BF5" s="30">
        <f ca="1">BE5+1</f>
        <v>46125</v>
      </c>
      <c r="BG5" s="28">
        <f ca="1">BF5+1</f>
        <v>46126</v>
      </c>
      <c r="BH5" s="28">
        <f t="shared" ref="BH5:BL5" ca="1" si="2">BG5+1</f>
        <v>46127</v>
      </c>
      <c r="BI5" s="28">
        <f t="shared" ca="1" si="2"/>
        <v>46128</v>
      </c>
      <c r="BJ5" s="28">
        <f t="shared" ca="1" si="2"/>
        <v>46129</v>
      </c>
      <c r="BK5" s="28">
        <f t="shared" ca="1" si="2"/>
        <v>46130</v>
      </c>
      <c r="BL5" s="28">
        <f t="shared" ca="1" si="2"/>
        <v>46131</v>
      </c>
    </row>
    <row r="6" spans="1:64" s="23" customFormat="1" ht="15" customHeight="1" thickBot="1" x14ac:dyDescent="0.2">
      <c r="A6" s="111"/>
      <c r="B6" s="113"/>
      <c r="C6" s="105"/>
      <c r="D6" s="105"/>
      <c r="E6" s="105"/>
      <c r="F6" s="105"/>
      <c r="I6" s="31" t="str">
        <f t="shared" ref="I6:AN6" ca="1" si="3">LEFT(TEXT(I5,"ddd"),1)</f>
        <v>M</v>
      </c>
      <c r="J6" s="32" t="str">
        <f t="shared" ca="1" si="3"/>
        <v>T</v>
      </c>
      <c r="K6" s="32" t="str">
        <f t="shared" ca="1" si="3"/>
        <v>W</v>
      </c>
      <c r="L6" s="32" t="str">
        <f t="shared" ca="1" si="3"/>
        <v>T</v>
      </c>
      <c r="M6" s="32" t="str">
        <f t="shared" ca="1" si="3"/>
        <v>F</v>
      </c>
      <c r="N6" s="32" t="str">
        <f t="shared" ca="1" si="3"/>
        <v>S</v>
      </c>
      <c r="O6" s="32" t="str">
        <f t="shared" ca="1" si="3"/>
        <v>S</v>
      </c>
      <c r="P6" s="32" t="str">
        <f t="shared" ca="1" si="3"/>
        <v>M</v>
      </c>
      <c r="Q6" s="32" t="str">
        <f t="shared" ca="1" si="3"/>
        <v>T</v>
      </c>
      <c r="R6" s="32" t="str">
        <f t="shared" ca="1" si="3"/>
        <v>W</v>
      </c>
      <c r="S6" s="32" t="str">
        <f t="shared" ca="1" si="3"/>
        <v>T</v>
      </c>
      <c r="T6" s="32" t="str">
        <f t="shared" ca="1" si="3"/>
        <v>F</v>
      </c>
      <c r="U6" s="32" t="str">
        <f t="shared" ca="1" si="3"/>
        <v>S</v>
      </c>
      <c r="V6" s="32" t="str">
        <f t="shared" ca="1" si="3"/>
        <v>S</v>
      </c>
      <c r="W6" s="32" t="str">
        <f t="shared" ca="1" si="3"/>
        <v>M</v>
      </c>
      <c r="X6" s="32" t="str">
        <f t="shared" ca="1" si="3"/>
        <v>T</v>
      </c>
      <c r="Y6" s="32" t="str">
        <f t="shared" ca="1" si="3"/>
        <v>W</v>
      </c>
      <c r="Z6" s="32" t="str">
        <f t="shared" ca="1" si="3"/>
        <v>T</v>
      </c>
      <c r="AA6" s="32" t="str">
        <f t="shared" ca="1" si="3"/>
        <v>F</v>
      </c>
      <c r="AB6" s="32" t="str">
        <f t="shared" ca="1" si="3"/>
        <v>S</v>
      </c>
      <c r="AC6" s="32" t="str">
        <f t="shared" ca="1" si="3"/>
        <v>S</v>
      </c>
      <c r="AD6" s="32" t="str">
        <f t="shared" ca="1" si="3"/>
        <v>M</v>
      </c>
      <c r="AE6" s="32" t="str">
        <f t="shared" ca="1" si="3"/>
        <v>T</v>
      </c>
      <c r="AF6" s="32" t="str">
        <f t="shared" ca="1" si="3"/>
        <v>W</v>
      </c>
      <c r="AG6" s="32" t="str">
        <f t="shared" ca="1" si="3"/>
        <v>T</v>
      </c>
      <c r="AH6" s="32" t="str">
        <f t="shared" ca="1" si="3"/>
        <v>F</v>
      </c>
      <c r="AI6" s="32" t="str">
        <f t="shared" ca="1" si="3"/>
        <v>S</v>
      </c>
      <c r="AJ6" s="32" t="str">
        <f t="shared" ca="1" si="3"/>
        <v>S</v>
      </c>
      <c r="AK6" s="32" t="str">
        <f t="shared" ca="1" si="3"/>
        <v>M</v>
      </c>
      <c r="AL6" s="32" t="str">
        <f t="shared" ca="1" si="3"/>
        <v>T</v>
      </c>
      <c r="AM6" s="32" t="str">
        <f t="shared" ca="1" si="3"/>
        <v>W</v>
      </c>
      <c r="AN6" s="32" t="str">
        <f t="shared" ca="1" si="3"/>
        <v>T</v>
      </c>
      <c r="AO6" s="32" t="str">
        <f t="shared" ref="AO6:BL6" ca="1" si="4">LEFT(TEXT(AO5,"ddd"),1)</f>
        <v>F</v>
      </c>
      <c r="AP6" s="32" t="str">
        <f t="shared" ca="1" si="4"/>
        <v>S</v>
      </c>
      <c r="AQ6" s="32" t="str">
        <f t="shared" ca="1" si="4"/>
        <v>S</v>
      </c>
      <c r="AR6" s="32" t="str">
        <f t="shared" ca="1" si="4"/>
        <v>M</v>
      </c>
      <c r="AS6" s="32" t="str">
        <f t="shared" ca="1" si="4"/>
        <v>T</v>
      </c>
      <c r="AT6" s="32" t="str">
        <f t="shared" ca="1" si="4"/>
        <v>W</v>
      </c>
      <c r="AU6" s="32" t="str">
        <f t="shared" ca="1" si="4"/>
        <v>T</v>
      </c>
      <c r="AV6" s="32" t="str">
        <f t="shared" ca="1" si="4"/>
        <v>F</v>
      </c>
      <c r="AW6" s="32" t="str">
        <f t="shared" ca="1" si="4"/>
        <v>S</v>
      </c>
      <c r="AX6" s="32" t="str">
        <f t="shared" ca="1" si="4"/>
        <v>S</v>
      </c>
      <c r="AY6" s="32" t="str">
        <f t="shared" ca="1" si="4"/>
        <v>M</v>
      </c>
      <c r="AZ6" s="32" t="str">
        <f t="shared" ca="1" si="4"/>
        <v>T</v>
      </c>
      <c r="BA6" s="32" t="str">
        <f t="shared" ca="1" si="4"/>
        <v>W</v>
      </c>
      <c r="BB6" s="32" t="str">
        <f t="shared" ca="1" si="4"/>
        <v>T</v>
      </c>
      <c r="BC6" s="32" t="str">
        <f t="shared" ca="1" si="4"/>
        <v>F</v>
      </c>
      <c r="BD6" s="32" t="str">
        <f t="shared" ca="1" si="4"/>
        <v>S</v>
      </c>
      <c r="BE6" s="32" t="str">
        <f t="shared" ca="1" si="4"/>
        <v>S</v>
      </c>
      <c r="BF6" s="32" t="str">
        <f t="shared" ca="1" si="4"/>
        <v>M</v>
      </c>
      <c r="BG6" s="32" t="str">
        <f t="shared" ca="1" si="4"/>
        <v>T</v>
      </c>
      <c r="BH6" s="32" t="str">
        <f t="shared" ca="1" si="4"/>
        <v>W</v>
      </c>
      <c r="BI6" s="32" t="str">
        <f t="shared" ca="1" si="4"/>
        <v>T</v>
      </c>
      <c r="BJ6" s="32" t="str">
        <f t="shared" ca="1" si="4"/>
        <v>F</v>
      </c>
      <c r="BK6" s="32" t="str">
        <f t="shared" ca="1" si="4"/>
        <v>S</v>
      </c>
      <c r="BL6" s="33" t="str">
        <f t="shared" ca="1" si="4"/>
        <v>S</v>
      </c>
    </row>
    <row r="7" spans="1:64" s="23" customFormat="1" ht="30" hidden="1" customHeight="1" thickBot="1" x14ac:dyDescent="0.2">
      <c r="A7" s="12" t="s">
        <v>19</v>
      </c>
      <c r="B7" s="34"/>
      <c r="C7" s="35"/>
      <c r="D7" s="34"/>
      <c r="E7" s="34"/>
      <c r="F7" s="34"/>
      <c r="H7" s="23" t="str">
        <f>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spans="1:64" s="43" customFormat="1" ht="30" customHeight="1" thickBot="1" x14ac:dyDescent="0.2">
      <c r="A8" s="13"/>
      <c r="B8" s="37" t="s">
        <v>25</v>
      </c>
      <c r="C8" s="38"/>
      <c r="D8" s="39"/>
      <c r="E8" s="40"/>
      <c r="F8" s="41"/>
      <c r="G8" s="14"/>
      <c r="H8" s="4" t="str">
        <f t="shared" ref="H8:H33" si="5">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x14ac:dyDescent="0.2">
      <c r="A9" s="13"/>
      <c r="B9" s="44" t="s">
        <v>41</v>
      </c>
      <c r="C9" s="45"/>
      <c r="D9" s="46"/>
      <c r="E9" s="47">
        <v>46081</v>
      </c>
      <c r="F9" s="47">
        <v>46083</v>
      </c>
      <c r="G9" s="14"/>
      <c r="H9" s="4">
        <f t="shared" si="5"/>
        <v>3</v>
      </c>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3" customFormat="1" ht="30" customHeight="1" thickBot="1" x14ac:dyDescent="0.2">
      <c r="A10" s="13"/>
      <c r="B10" s="49" t="s">
        <v>42</v>
      </c>
      <c r="C10" s="50"/>
      <c r="D10" s="51"/>
      <c r="E10" s="52">
        <v>46083</v>
      </c>
      <c r="F10" s="52">
        <v>46088</v>
      </c>
      <c r="G10" s="14"/>
      <c r="H10" s="4">
        <f t="shared" si="5"/>
        <v>6</v>
      </c>
      <c r="I10" s="48"/>
      <c r="J10" s="48"/>
      <c r="K10" s="48"/>
      <c r="L10" s="48"/>
      <c r="M10" s="48"/>
      <c r="N10" s="48"/>
      <c r="O10" s="48"/>
      <c r="P10" s="48"/>
      <c r="Q10" s="48"/>
      <c r="R10" s="48"/>
      <c r="S10" s="48"/>
      <c r="T10" s="48"/>
      <c r="U10" s="53"/>
      <c r="V10" s="53"/>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3" customFormat="1" ht="30" customHeight="1" thickBot="1" x14ac:dyDescent="0.2">
      <c r="A11" s="12"/>
      <c r="B11" s="49" t="s">
        <v>43</v>
      </c>
      <c r="C11" s="50"/>
      <c r="D11" s="51"/>
      <c r="E11" s="52">
        <f>F10</f>
        <v>46088</v>
      </c>
      <c r="F11" s="52">
        <v>46093</v>
      </c>
      <c r="G11" s="14"/>
      <c r="H11" s="4">
        <f t="shared" si="5"/>
        <v>6</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3" customFormat="1" ht="30" customHeight="1" thickBot="1" x14ac:dyDescent="0.2">
      <c r="A12" s="12"/>
      <c r="B12" s="49" t="s">
        <v>44</v>
      </c>
      <c r="C12" s="50"/>
      <c r="D12" s="51"/>
      <c r="E12" s="52">
        <f>F11</f>
        <v>46093</v>
      </c>
      <c r="F12" s="52">
        <v>46098</v>
      </c>
      <c r="G12" s="14"/>
      <c r="H12" s="4">
        <f t="shared" si="5"/>
        <v>6</v>
      </c>
      <c r="I12" s="48"/>
      <c r="J12" s="48"/>
      <c r="K12" s="48"/>
      <c r="L12" s="48"/>
      <c r="M12" s="48"/>
      <c r="N12" s="48"/>
      <c r="O12" s="48"/>
      <c r="P12" s="48"/>
      <c r="Q12" s="48"/>
      <c r="R12" s="48"/>
      <c r="S12" s="48"/>
      <c r="T12" s="48"/>
      <c r="U12" s="48"/>
      <c r="V12" s="48"/>
      <c r="W12" s="48"/>
      <c r="X12" s="48"/>
      <c r="Y12" s="53"/>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3" customFormat="1" ht="30" customHeight="1" thickBot="1" x14ac:dyDescent="0.2">
      <c r="A13" s="12"/>
      <c r="B13" s="49" t="s">
        <v>45</v>
      </c>
      <c r="C13" s="50"/>
      <c r="D13" s="51"/>
      <c r="E13" s="52">
        <v>46098</v>
      </c>
      <c r="F13" s="52">
        <v>46103</v>
      </c>
      <c r="G13" s="14"/>
      <c r="H13" s="4">
        <f t="shared" si="5"/>
        <v>6</v>
      </c>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spans="1:64" s="43" customFormat="1" ht="30" customHeight="1" thickBot="1" x14ac:dyDescent="0.2">
      <c r="A14" s="13"/>
      <c r="B14" s="54" t="s">
        <v>32</v>
      </c>
      <c r="C14" s="55"/>
      <c r="D14" s="56"/>
      <c r="E14" s="57"/>
      <c r="F14" s="58"/>
      <c r="G14" s="14"/>
      <c r="H14" s="4" t="str">
        <f t="shared" si="5"/>
        <v/>
      </c>
    </row>
    <row r="15" spans="1:64" s="43" customFormat="1" ht="30" customHeight="1" thickBot="1" x14ac:dyDescent="0.2">
      <c r="A15" s="13"/>
      <c r="B15" s="59" t="s">
        <v>29</v>
      </c>
      <c r="C15" s="60"/>
      <c r="D15" s="61"/>
      <c r="E15" s="62">
        <v>46081</v>
      </c>
      <c r="F15" s="62">
        <f>E15+1</f>
        <v>46082</v>
      </c>
      <c r="G15" s="14"/>
      <c r="H15" s="4">
        <f t="shared" si="5"/>
        <v>2</v>
      </c>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43" customFormat="1" ht="30" customHeight="1" thickBot="1" x14ac:dyDescent="0.2">
      <c r="A16" s="12"/>
      <c r="B16" s="59" t="s">
        <v>30</v>
      </c>
      <c r="C16" s="60"/>
      <c r="D16" s="61"/>
      <c r="E16" s="62">
        <v>46082</v>
      </c>
      <c r="F16" s="62">
        <v>46083</v>
      </c>
      <c r="G16" s="14"/>
      <c r="H16" s="4">
        <f t="shared" si="5"/>
        <v>2</v>
      </c>
      <c r="I16" s="48"/>
      <c r="J16" s="48"/>
      <c r="K16" s="48"/>
      <c r="L16" s="48"/>
      <c r="M16" s="48"/>
      <c r="N16" s="48"/>
      <c r="O16" s="48"/>
      <c r="P16" s="48"/>
      <c r="Q16" s="48"/>
      <c r="R16" s="48"/>
      <c r="S16" s="48"/>
      <c r="T16" s="48"/>
      <c r="U16" s="53"/>
      <c r="V16" s="53"/>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spans="1:64" s="43" customFormat="1" ht="30" customHeight="1" thickBot="1" x14ac:dyDescent="0.2">
      <c r="A17" s="12"/>
      <c r="B17" s="59" t="s">
        <v>31</v>
      </c>
      <c r="C17" s="60"/>
      <c r="D17" s="61"/>
      <c r="E17" s="62">
        <v>46083</v>
      </c>
      <c r="F17" s="62">
        <v>46083</v>
      </c>
      <c r="G17" s="14"/>
      <c r="H17" s="4">
        <f t="shared" si="5"/>
        <v>1</v>
      </c>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spans="1:64" s="43" customFormat="1" ht="30" customHeight="1" thickBot="1" x14ac:dyDescent="0.2">
      <c r="A18" s="12"/>
      <c r="B18" s="59"/>
      <c r="C18" s="60"/>
      <c r="D18" s="61"/>
      <c r="E18" s="62"/>
      <c r="F18" s="62"/>
      <c r="G18" s="14"/>
      <c r="H18" s="4" t="str">
        <f t="shared" si="5"/>
        <v/>
      </c>
      <c r="I18" s="48"/>
      <c r="J18" s="48"/>
      <c r="K18" s="48"/>
      <c r="L18" s="48"/>
      <c r="M18" s="48"/>
      <c r="N18" s="48"/>
      <c r="O18" s="48"/>
      <c r="P18" s="48"/>
      <c r="Q18" s="48"/>
      <c r="R18" s="48"/>
      <c r="S18" s="48"/>
      <c r="T18" s="48"/>
      <c r="U18" s="48"/>
      <c r="V18" s="48"/>
      <c r="W18" s="48"/>
      <c r="X18" s="48"/>
      <c r="Y18" s="53"/>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3" customFormat="1" ht="30" customHeight="1" thickBot="1" x14ac:dyDescent="0.2">
      <c r="A19" s="12"/>
      <c r="B19" s="59"/>
      <c r="C19" s="60"/>
      <c r="D19" s="61"/>
      <c r="E19" s="62"/>
      <c r="F19" s="62"/>
      <c r="G19" s="14"/>
      <c r="H19" s="4" t="str">
        <f t="shared" si="5"/>
        <v/>
      </c>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3" customFormat="1" ht="30" customHeight="1" thickBot="1" x14ac:dyDescent="0.2">
      <c r="A20" s="12"/>
      <c r="B20" s="63" t="s">
        <v>33</v>
      </c>
      <c r="C20" s="64"/>
      <c r="D20" s="65"/>
      <c r="E20" s="66"/>
      <c r="F20" s="67"/>
      <c r="G20" s="14"/>
      <c r="H20" s="4" t="str">
        <f t="shared" si="5"/>
        <v/>
      </c>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row>
    <row r="21" spans="1:64" s="43" customFormat="1" ht="30" customHeight="1" thickBot="1" x14ac:dyDescent="0.2">
      <c r="A21" s="12"/>
      <c r="B21" s="69" t="s">
        <v>40</v>
      </c>
      <c r="C21" s="70"/>
      <c r="D21" s="71"/>
      <c r="E21" s="72">
        <v>46080</v>
      </c>
      <c r="F21" s="72">
        <v>46112</v>
      </c>
      <c r="G21" s="14"/>
      <c r="H21" s="4">
        <f t="shared" si="5"/>
        <v>33</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3" customFormat="1" ht="30" customHeight="1" thickBot="1" x14ac:dyDescent="0.2">
      <c r="A22" s="12"/>
      <c r="B22" s="69"/>
      <c r="C22" s="70"/>
      <c r="D22" s="71"/>
      <c r="E22" s="72"/>
      <c r="F22" s="72"/>
      <c r="G22" s="14"/>
      <c r="H22" s="4" t="str">
        <f t="shared" si="5"/>
        <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3" customFormat="1" ht="30" customHeight="1" thickBot="1" x14ac:dyDescent="0.2">
      <c r="A23" s="12"/>
      <c r="B23" s="69"/>
      <c r="C23" s="70"/>
      <c r="D23" s="71"/>
      <c r="E23" s="72"/>
      <c r="F23" s="72"/>
      <c r="G23" s="14"/>
      <c r="H23" s="4" t="str">
        <f t="shared" si="5"/>
        <v/>
      </c>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row>
    <row r="24" spans="1:64" s="43" customFormat="1" ht="30" customHeight="1" thickBot="1" x14ac:dyDescent="0.2">
      <c r="A24" s="12"/>
      <c r="B24" s="69"/>
      <c r="C24" s="70"/>
      <c r="D24" s="71"/>
      <c r="E24" s="72"/>
      <c r="F24" s="72"/>
      <c r="G24" s="14"/>
      <c r="H24" s="4" t="str">
        <f t="shared" si="5"/>
        <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3" customFormat="1" ht="30" customHeight="1" thickBot="1" x14ac:dyDescent="0.2">
      <c r="A25" s="12"/>
      <c r="B25" s="69"/>
      <c r="C25" s="70"/>
      <c r="D25" s="71"/>
      <c r="E25" s="72"/>
      <c r="F25" s="72"/>
      <c r="G25" s="14"/>
      <c r="H25" s="4" t="str">
        <f t="shared" si="5"/>
        <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3" customFormat="1" ht="30" customHeight="1" thickBot="1" x14ac:dyDescent="0.2">
      <c r="A26" s="12"/>
      <c r="B26" s="73" t="s">
        <v>34</v>
      </c>
      <c r="C26" s="74"/>
      <c r="D26" s="75"/>
      <c r="E26" s="76"/>
      <c r="F26" s="77"/>
      <c r="G26" s="14"/>
      <c r="H26" s="4" t="str">
        <f t="shared" si="5"/>
        <v/>
      </c>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row>
    <row r="27" spans="1:64" s="43" customFormat="1" ht="30" customHeight="1" thickBot="1" x14ac:dyDescent="0.2">
      <c r="A27" s="12"/>
      <c r="B27" s="79" t="s">
        <v>39</v>
      </c>
      <c r="C27" s="80"/>
      <c r="D27" s="81"/>
      <c r="E27" s="82">
        <v>46103</v>
      </c>
      <c r="F27" s="82">
        <v>46103</v>
      </c>
      <c r="G27" s="14"/>
      <c r="H27" s="4">
        <f t="shared" si="5"/>
        <v>1</v>
      </c>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row>
    <row r="28" spans="1:64" s="43" customFormat="1" ht="30" customHeight="1" thickBot="1" x14ac:dyDescent="0.2">
      <c r="A28" s="12"/>
      <c r="B28" s="79" t="s">
        <v>26</v>
      </c>
      <c r="C28" s="80"/>
      <c r="D28" s="81"/>
      <c r="E28" s="82">
        <v>46103</v>
      </c>
      <c r="F28" s="82">
        <v>46105</v>
      </c>
      <c r="G28" s="14"/>
      <c r="H28" s="4">
        <f t="shared" si="5"/>
        <v>3</v>
      </c>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row>
    <row r="29" spans="1:64" s="43" customFormat="1" ht="30" customHeight="1" thickBot="1" x14ac:dyDescent="0.2">
      <c r="A29" s="12"/>
      <c r="B29" s="79"/>
      <c r="C29" s="80"/>
      <c r="D29" s="81"/>
      <c r="E29" s="82"/>
      <c r="F29" s="82"/>
      <c r="G29" s="14"/>
      <c r="H29" s="4" t="str">
        <f t="shared" si="5"/>
        <v/>
      </c>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row>
    <row r="30" spans="1:64" s="43" customFormat="1" ht="30" customHeight="1" thickBot="1" x14ac:dyDescent="0.2">
      <c r="A30" s="12"/>
      <c r="B30" s="79"/>
      <c r="C30" s="80"/>
      <c r="D30" s="81"/>
      <c r="E30" s="82"/>
      <c r="F30" s="82"/>
      <c r="G30" s="14"/>
      <c r="H30" s="4" t="str">
        <f t="shared" si="5"/>
        <v/>
      </c>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row>
    <row r="31" spans="1:64" s="43" customFormat="1" ht="30" customHeight="1" thickBot="1" x14ac:dyDescent="0.2">
      <c r="A31" s="12"/>
      <c r="B31" s="79"/>
      <c r="C31" s="80"/>
      <c r="D31" s="81"/>
      <c r="E31" s="82"/>
      <c r="F31" s="82"/>
      <c r="G31" s="14"/>
      <c r="H31" s="4" t="str">
        <f t="shared" si="5"/>
        <v/>
      </c>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row>
    <row r="32" spans="1:64" s="43" customFormat="1" ht="30" customHeight="1" thickBot="1" x14ac:dyDescent="0.2">
      <c r="A32" s="12"/>
      <c r="B32" s="93" t="s">
        <v>35</v>
      </c>
      <c r="C32" s="94"/>
      <c r="D32" s="95"/>
      <c r="E32" s="96"/>
      <c r="F32" s="96"/>
      <c r="G32" s="14"/>
      <c r="H32" s="4" t="str">
        <f t="shared" si="5"/>
        <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43" customFormat="1" ht="30" customHeight="1" thickBot="1" x14ac:dyDescent="0.2">
      <c r="A33" s="13"/>
      <c r="B33" s="97" t="s">
        <v>36</v>
      </c>
      <c r="C33" s="98"/>
      <c r="D33" s="99"/>
      <c r="E33" s="100">
        <f>E27+2</f>
        <v>46105</v>
      </c>
      <c r="F33" s="100">
        <v>46105</v>
      </c>
      <c r="G33" s="14"/>
      <c r="H33" s="5">
        <f t="shared" si="5"/>
        <v>1</v>
      </c>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row>
    <row r="34" spans="1:64" ht="30" customHeight="1" x14ac:dyDescent="0.15">
      <c r="B34" s="97" t="s">
        <v>27</v>
      </c>
      <c r="C34" s="98"/>
      <c r="D34" s="99"/>
      <c r="E34" s="100">
        <v>46105</v>
      </c>
      <c r="F34" s="100">
        <v>46107</v>
      </c>
      <c r="G34" s="3"/>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row>
    <row r="35" spans="1:64" ht="30" customHeight="1" x14ac:dyDescent="0.15">
      <c r="B35" s="97" t="s">
        <v>37</v>
      </c>
      <c r="C35" s="98"/>
      <c r="D35" s="99"/>
      <c r="E35" s="100">
        <f>F34+1</f>
        <v>46108</v>
      </c>
      <c r="F35" s="100">
        <v>46109</v>
      </c>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row>
    <row r="36" spans="1:64" ht="30" customHeight="1" x14ac:dyDescent="0.15">
      <c r="B36" s="97" t="s">
        <v>38</v>
      </c>
      <c r="C36" s="98"/>
      <c r="D36" s="99"/>
      <c r="E36" s="100">
        <v>46108</v>
      </c>
      <c r="F36" s="100">
        <v>46109</v>
      </c>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row>
    <row r="37" spans="1:64" ht="30" customHeight="1" x14ac:dyDescent="0.15">
      <c r="B37" s="97" t="s">
        <v>28</v>
      </c>
      <c r="C37" s="98"/>
      <c r="D37" s="99"/>
      <c r="E37" s="100">
        <v>46110</v>
      </c>
      <c r="F37" s="100">
        <v>46110</v>
      </c>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7">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11" priority="4">
      <formula>AND(TODAY()&gt;=I$5, TODAY()&lt;J$5)</formula>
    </cfRule>
  </conditionalFormatting>
  <conditionalFormatting sqref="I9:BL13">
    <cfRule type="expression" dxfId="10" priority="9">
      <formula>AND(task_start&lt;=I$5,ROUNDDOWN((task_end-task_start+1)*task_progress,0)+task_start-1&gt;=I$5)</formula>
    </cfRule>
    <cfRule type="expression" dxfId="9" priority="10" stopIfTrue="1">
      <formula>AND(task_end&gt;=I$5,task_start&lt;J$5)</formula>
    </cfRule>
  </conditionalFormatting>
  <conditionalFormatting sqref="I15:BL19">
    <cfRule type="expression" dxfId="8" priority="7">
      <formula>AND(task_start&lt;=I$5,ROUNDDOWN((task_end-task_start+1)*task_progress,0)+task_start-1&gt;=I$5)</formula>
    </cfRule>
    <cfRule type="expression" dxfId="7" priority="8" stopIfTrue="1">
      <formula>AND(task_end&gt;=I$5,task_start&lt;J$5)</formula>
    </cfRule>
  </conditionalFormatting>
  <conditionalFormatting sqref="I21:BL25">
    <cfRule type="expression" dxfId="6" priority="5">
      <formula>AND(task_start&lt;=I$5,ROUNDDOWN((task_end-task_start+1)*task_progress,0)+task_start-1&gt;=I$5)</formula>
    </cfRule>
    <cfRule type="expression" dxfId="5" priority="6" stopIfTrue="1">
      <formula>AND(task_end&gt;=I$5,task_start&lt;J$5)</formula>
    </cfRule>
  </conditionalFormatting>
  <conditionalFormatting sqref="I27:BL31">
    <cfRule type="expression" dxfId="4" priority="39">
      <formula>AND(task_start&lt;=I$5,ROUNDDOWN((task_end-task_start+1)*task_progress,0)+task_start-1&gt;=I$5)</formula>
    </cfRule>
    <cfRule type="expression" dxfId="3" priority="40" stopIfTrue="1">
      <formula>AND(task_end&gt;=I$5,task_start&lt;J$5)</formula>
    </cfRule>
  </conditionalFormatting>
  <conditionalFormatting sqref="I33:BL37">
    <cfRule type="expression" dxfId="2" priority="1">
      <formula>AND(TODAY()&gt;=I$5, TODAY()&lt;J$5)</formula>
    </cfRule>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6" customWidth="1"/>
    <col min="2" max="16384" width="9" style="1"/>
  </cols>
  <sheetData>
    <row r="1" spans="1:2" ht="46.5" customHeight="1" x14ac:dyDescent="0.15"/>
    <row r="2" spans="1:2" s="8" customFormat="1" ht="16" x14ac:dyDescent="0.15">
      <c r="A2" s="86" t="s">
        <v>7</v>
      </c>
      <c r="B2" s="7"/>
    </row>
    <row r="3" spans="1:2" s="10" customFormat="1" ht="27" customHeight="1" x14ac:dyDescent="0.15">
      <c r="A3" s="87"/>
      <c r="B3" s="11"/>
    </row>
    <row r="4" spans="1:2" s="9" customFormat="1" ht="31" x14ac:dyDescent="0.45">
      <c r="A4" s="88" t="s">
        <v>6</v>
      </c>
    </row>
    <row r="5" spans="1:2" ht="74.25" customHeight="1" x14ac:dyDescent="0.15">
      <c r="A5" s="89" t="s">
        <v>15</v>
      </c>
    </row>
    <row r="6" spans="1:2" ht="26.25" customHeight="1" x14ac:dyDescent="0.15">
      <c r="A6" s="88" t="s">
        <v>18</v>
      </c>
    </row>
    <row r="7" spans="1:2" s="6" customFormat="1" ht="205" customHeight="1" x14ac:dyDescent="0.15">
      <c r="A7" s="90" t="s">
        <v>17</v>
      </c>
    </row>
    <row r="8" spans="1:2" s="9" customFormat="1" ht="31" x14ac:dyDescent="0.45">
      <c r="A8" s="88" t="s">
        <v>8</v>
      </c>
    </row>
    <row r="9" spans="1:2" ht="60" x14ac:dyDescent="0.15">
      <c r="A9" s="89" t="s">
        <v>16</v>
      </c>
    </row>
    <row r="10" spans="1:2" s="6" customFormat="1" ht="28" customHeight="1" x14ac:dyDescent="0.15">
      <c r="A10" s="91" t="s">
        <v>14</v>
      </c>
    </row>
    <row r="11" spans="1:2" s="9" customFormat="1" ht="31" x14ac:dyDescent="0.45">
      <c r="A11" s="88" t="s">
        <v>5</v>
      </c>
    </row>
    <row r="12" spans="1:2" ht="30" x14ac:dyDescent="0.15">
      <c r="A12" s="89" t="s">
        <v>13</v>
      </c>
    </row>
    <row r="13" spans="1:2" s="6" customFormat="1" ht="28" customHeight="1" x14ac:dyDescent="0.15">
      <c r="A13" s="91" t="s">
        <v>1</v>
      </c>
    </row>
    <row r="14" spans="1:2" s="9" customFormat="1" ht="31" x14ac:dyDescent="0.45">
      <c r="A14" s="88" t="s">
        <v>9</v>
      </c>
    </row>
    <row r="15" spans="1:2" ht="75" customHeight="1" x14ac:dyDescent="0.15">
      <c r="A15" s="89" t="s">
        <v>10</v>
      </c>
    </row>
    <row r="16" spans="1:2" ht="75" x14ac:dyDescent="0.15">
      <c r="A16" s="89" t="s">
        <v>11</v>
      </c>
    </row>
    <row r="17" spans="1:1" x14ac:dyDescent="0.15">
      <c r="A17" s="92"/>
    </row>
    <row r="18" spans="1:1" x14ac:dyDescent="0.15">
      <c r="A18" s="92"/>
    </row>
    <row r="19" spans="1:1" x14ac:dyDescent="0.15">
      <c r="A19" s="92"/>
    </row>
    <row r="20" spans="1:1" x14ac:dyDescent="0.15">
      <c r="A20" s="92"/>
    </row>
    <row r="21" spans="1:1" x14ac:dyDescent="0.15">
      <c r="A21" s="92"/>
    </row>
    <row r="22" spans="1:1" x14ac:dyDescent="0.15">
      <c r="A22" s="92"/>
    </row>
    <row r="23" spans="1:1" x14ac:dyDescent="0.15">
      <c r="A23" s="92"/>
    </row>
    <row r="24" spans="1:1" x14ac:dyDescent="0.15">
      <c r="A24" s="9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Tyler Thiede</dc:creator>
  <dc:description/>
  <cp:lastModifiedBy>Tyler Thiede</cp:lastModifiedBy>
  <dcterms:created xsi:type="dcterms:W3CDTF">2022-03-11T22:41:12Z</dcterms:created>
  <dcterms:modified xsi:type="dcterms:W3CDTF">2026-02-26T23:53:43Z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